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_big_data\ejercicios_excell\analisis_estadistico\"/>
    </mc:Choice>
  </mc:AlternateContent>
  <xr:revisionPtr revIDLastSave="0" documentId="13_ncr:1_{CD39CB02-CE6F-41F1-A046-D95F486C4A79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'1_Precios'!$B$5:$B$46</definedName>
    <definedName name="_xlchart.v1.2" hidden="1">'4_Probabilidad'!$D$6:$D$8</definedName>
    <definedName name="_xlchart.v1.3" hidden="1">'4_Probabilidad'!$E$6:$E$8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5" l="1"/>
  <c r="G7" i="5"/>
  <c r="G8" i="5"/>
  <c r="G6" i="5"/>
  <c r="F9" i="5"/>
  <c r="F7" i="5"/>
  <c r="F8" i="5"/>
  <c r="F6" i="5"/>
  <c r="E9" i="5"/>
  <c r="E7" i="5"/>
  <c r="E8" i="5"/>
  <c r="E6" i="5"/>
  <c r="E3" i="5"/>
  <c r="E13" i="4"/>
  <c r="E14" i="4"/>
  <c r="E15" i="4"/>
  <c r="E16" i="4"/>
  <c r="E12" i="4"/>
  <c r="E7" i="4"/>
  <c r="E6" i="4"/>
  <c r="E5" i="4"/>
  <c r="F8" i="3"/>
  <c r="F7" i="3"/>
  <c r="F6" i="3"/>
  <c r="F5" i="3"/>
  <c r="E8" i="2"/>
  <c r="E7" i="2"/>
  <c r="E6" i="2"/>
  <c r="E5" i="2"/>
</calcChain>
</file>

<file path=xl/sharedStrings.xml><?xml version="1.0" encoding="utf-8"?>
<sst xmlns="http://schemas.openxmlformats.org/spreadsheetml/2006/main" count="571" uniqueCount="153">
  <si>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</si>
  <si>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</si>
  <si>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</si>
  <si>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</si>
  <si>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</si>
  <si>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</si>
  <si>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</si>
  <si>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</si>
  <si>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</si>
  <si>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</si>
  <si>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</si>
  <si>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</si>
  <si>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</si>
  <si>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</si>
  <si>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</si>
  <si>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</si>
  <si>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</si>
  <si>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</si>
  <si>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</si>
  <si>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</si>
  <si>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</si>
  <si>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</si>
  <si>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</si>
  <si>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</si>
  <si>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</si>
  <si>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</si>
  <si>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</si>
  <si>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</si>
  <si>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</si>
  <si>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</si>
  <si>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</si>
  <si>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</si>
  <si>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</si>
  <si>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</si>
  <si>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</si>
  <si>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</si>
  <si>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</si>
  <si>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</si>
  <si>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</si>
  <si>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</si>
  <si>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</si>
  <si>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</si>
  <si>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</si>
  <si>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</si>
  <si>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</si>
  <si>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</si>
  <si>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</si>
  <si>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</si>
  <si>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</si>
  <si>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</si>
  <si>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</si>
  <si>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</si>
  <si>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</si>
  <si>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</si>
  <si>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</si>
  <si>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</si>
  <si>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</si>
  <si>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</si>
  <si>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</si>
  <si>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</si>
  <si>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</si>
  <si>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</si>
  <si>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</si>
  <si>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</si>
  <si>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</si>
  <si>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</si>
  <si>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</si>
  <si>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</si>
  <si>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</si>
  <si>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</si>
  <si>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</si>
  <si>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</si>
  <si>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</si>
  <si>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</si>
  <si>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</si>
  <si>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</si>
  <si>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</si>
  <si>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</si>
  <si>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</si>
  <si>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</si>
  <si>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</si>
  <si>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</si>
  <si>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</si>
  <si>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</si>
  <si>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</si>
  <si>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</si>
  <si>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</si>
  <si>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</si>
  <si>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</si>
  <si>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</si>
  <si>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</si>
  <si>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</si>
  <si>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</si>
  <si>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</si>
  <si>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</si>
  <si>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</si>
  <si>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</si>
  <si>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</si>
  <si>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</si>
  <si>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</si>
  <si>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</si>
  <si>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</si>
  <si>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</si>
  <si>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</si>
  <si>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</si>
  <si>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</si>
  <si>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</si>
  <si>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</si>
  <si>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</si>
  <si>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</si>
  <si>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</si>
  <si>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</si>
  <si>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</si>
  <si>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</si>
  <si>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</si>
  <si>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</si>
  <si>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</si>
  <si>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</si>
  <si>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</si>
  <si>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</si>
  <si>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</si>
  <si>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</si>
  <si>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</si>
  <si>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</si>
  <si>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</si>
  <si>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</si>
  <si>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</si>
  <si>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</si>
  <si>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</si>
  <si>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</si>
  <si>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</si>
  <si>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</si>
  <si>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</si>
  <si>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</si>
  <si>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</si>
  <si>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</si>
  <si>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</si>
  <si>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</si>
  <si>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</si>
  <si>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</si>
  <si>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</si>
  <si>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</si>
  <si>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</si>
  <si>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</si>
  <si>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</si>
  <si>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</si>
  <si>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</si>
  <si>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</si>
  <si>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</si>
  <si>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</si>
  <si>
    <t>18 es el producto que mas se ha comprado</t>
  </si>
  <si>
    <t>media y mediana no son parecidas, esto implica muchos outliners ,valores extremos en la parte alta que distorsionan la media</t>
  </si>
  <si>
    <t>el tikect medio de nuestra tienda es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</si>
</sst>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10" fontId="0" fillId="4" borderId="1" xfId="0" applyNumberFormat="1" applyFill="1" applyBorder="1"/>
    <xf numFmtId="2" fontId="0" fillId="4" borderId="1" xfId="0" applyNumberFormat="1" applyFill="1" applyBorder="1"/>
    <xf numFmtId="0" fontId="5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Dispersion</a:t>
            </a:r>
            <a:r>
              <a:rPr lang="es-ES" baseline="0"/>
              <a:t>: Coste vs Beneficio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'2_Beneficios'!$B$5:$B$46</c:f>
              <c:numCache>
                <c:formatCode>General</c:formatCode>
                <c:ptCount val="42"/>
                <c:pt idx="0">
                  <c:v>10</c:v>
                </c:pt>
                <c:pt idx="1">
                  <c:v>14</c:v>
                </c:pt>
                <c:pt idx="2">
                  <c:v>45</c:v>
                </c:pt>
                <c:pt idx="3">
                  <c:v>60</c:v>
                </c:pt>
                <c:pt idx="4">
                  <c:v>15</c:v>
                </c:pt>
                <c:pt idx="5">
                  <c:v>180</c:v>
                </c:pt>
                <c:pt idx="6">
                  <c:v>20</c:v>
                </c:pt>
                <c:pt idx="7">
                  <c:v>18</c:v>
                </c:pt>
                <c:pt idx="8">
                  <c:v>50</c:v>
                </c:pt>
                <c:pt idx="9">
                  <c:v>70</c:v>
                </c:pt>
                <c:pt idx="10">
                  <c:v>12</c:v>
                </c:pt>
                <c:pt idx="11">
                  <c:v>25</c:v>
                </c:pt>
                <c:pt idx="12">
                  <c:v>32</c:v>
                </c:pt>
                <c:pt idx="13">
                  <c:v>18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55</c:v>
                </c:pt>
                <c:pt idx="18">
                  <c:v>20</c:v>
                </c:pt>
                <c:pt idx="19">
                  <c:v>35</c:v>
                </c:pt>
                <c:pt idx="20">
                  <c:v>16</c:v>
                </c:pt>
                <c:pt idx="21">
                  <c:v>15</c:v>
                </c:pt>
                <c:pt idx="22">
                  <c:v>12</c:v>
                </c:pt>
                <c:pt idx="23">
                  <c:v>8</c:v>
                </c:pt>
                <c:pt idx="24">
                  <c:v>70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6</c:v>
                </c:pt>
                <c:pt idx="31">
                  <c:v>12</c:v>
                </c:pt>
                <c:pt idx="32">
                  <c:v>9</c:v>
                </c:pt>
                <c:pt idx="33">
                  <c:v>90</c:v>
                </c:pt>
                <c:pt idx="34">
                  <c:v>180</c:v>
                </c:pt>
                <c:pt idx="35">
                  <c:v>45</c:v>
                </c:pt>
                <c:pt idx="36">
                  <c:v>25</c:v>
                </c:pt>
                <c:pt idx="37">
                  <c:v>18</c:v>
                </c:pt>
                <c:pt idx="38">
                  <c:v>30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</c:numCache>
            </c:numRef>
          </c:xVal>
          <c:yVal>
            <c:numRef>
              <c:f>'2_Beneficios'!$C$5:$C$46</c:f>
              <c:numCache>
                <c:formatCode>General</c:formatCode>
                <c:ptCount val="42"/>
                <c:pt idx="0">
                  <c:v>15.5</c:v>
                </c:pt>
                <c:pt idx="1">
                  <c:v>22</c:v>
                </c:pt>
                <c:pt idx="2">
                  <c:v>40</c:v>
                </c:pt>
                <c:pt idx="3">
                  <c:v>50</c:v>
                </c:pt>
                <c:pt idx="4">
                  <c:v>20</c:v>
                </c:pt>
                <c:pt idx="5">
                  <c:v>70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60</c:v>
                </c:pt>
                <c:pt idx="10">
                  <c:v>30</c:v>
                </c:pt>
                <c:pt idx="11">
                  <c:v>30</c:v>
                </c:pt>
                <c:pt idx="12">
                  <c:v>48</c:v>
                </c:pt>
                <c:pt idx="13">
                  <c:v>24</c:v>
                </c:pt>
                <c:pt idx="14">
                  <c:v>25</c:v>
                </c:pt>
                <c:pt idx="15">
                  <c:v>21</c:v>
                </c:pt>
                <c:pt idx="16">
                  <c:v>20</c:v>
                </c:pt>
                <c:pt idx="17">
                  <c:v>40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18</c:v>
                </c:pt>
                <c:pt idx="23">
                  <c:v>10</c:v>
                </c:pt>
                <c:pt idx="24">
                  <c:v>50</c:v>
                </c:pt>
                <c:pt idx="25">
                  <c:v>15</c:v>
                </c:pt>
                <c:pt idx="26">
                  <c:v>21</c:v>
                </c:pt>
                <c:pt idx="27">
                  <c:v>16</c:v>
                </c:pt>
                <c:pt idx="28">
                  <c:v>28</c:v>
                </c:pt>
                <c:pt idx="29">
                  <c:v>12</c:v>
                </c:pt>
                <c:pt idx="30">
                  <c:v>10</c:v>
                </c:pt>
                <c:pt idx="31">
                  <c:v>16</c:v>
                </c:pt>
                <c:pt idx="32">
                  <c:v>11</c:v>
                </c:pt>
                <c:pt idx="33">
                  <c:v>60</c:v>
                </c:pt>
                <c:pt idx="34">
                  <c:v>120</c:v>
                </c:pt>
                <c:pt idx="35">
                  <c:v>40</c:v>
                </c:pt>
                <c:pt idx="36">
                  <c:v>25</c:v>
                </c:pt>
                <c:pt idx="37">
                  <c:v>22</c:v>
                </c:pt>
                <c:pt idx="38">
                  <c:v>40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7-40A6-9720-BB88AB83D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39951"/>
        <c:axId val="1924038511"/>
      </c:scatterChart>
      <c:valAx>
        <c:axId val="192403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038511"/>
        <c:crosses val="autoZero"/>
        <c:crossBetween val="midCat"/>
      </c:valAx>
      <c:valAx>
        <c:axId val="19240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03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Distribucion de satisfaccion</a:t>
            </a:r>
          </a:p>
        </c:rich>
      </c:tx>
      <c:layout>
        <c:manualLayout>
          <c:xMode val="edge"/>
          <c:yMode val="edge"/>
          <c:x val="0.36523600174978127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'3_Satisfaccion'!$D$12:$D$16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'3_Satisfaccion'!$E$12:$E$16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E-4B52-91C0-1D85D54FB5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963200"/>
        <c:axId val="529967040"/>
      </c:barChart>
      <c:catAx>
        <c:axId val="52996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967040"/>
        <c:crosses val="autoZero"/>
        <c:auto val="1"/>
        <c:lblAlgn val="ctr"/>
        <c:lblOffset val="100"/>
        <c:noMultiLvlLbl val="0"/>
      </c:catAx>
      <c:valAx>
        <c:axId val="529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96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Probalidad / Ventas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'4_Probabilidad'!$D$6:$D$8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'4_Probabilidad'!$E$6:$E$8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A-4185-A774-33EB42017F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histograma de precios</a:t>
            </a:r>
          </a:p>
          <a:p>
            <a:pPr algn="ctr" rtl="0">
              <a:defRPr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2F1EEB45-E66E-4585-B1C7-6ADAAF1B016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167640</xdr:rowOff>
    </xdr:from>
    <xdr:to>
      <xdr:col>8</xdr:col>
      <xdr:colOff>274320</xdr:colOff>
      <xdr:row>26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A650B69-2B8E-B9E5-BEE4-338732DB0D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1960" y="22250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12</xdr:row>
      <xdr:rowOff>0</xdr:rowOff>
    </xdr:from>
    <xdr:to>
      <xdr:col>9</xdr:col>
      <xdr:colOff>403860</xdr:colOff>
      <xdr:row>29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499440-986D-CADD-6ECE-ED9880888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21</xdr:row>
      <xdr:rowOff>7620</xdr:rowOff>
    </xdr:from>
    <xdr:to>
      <xdr:col>7</xdr:col>
      <xdr:colOff>228600</xdr:colOff>
      <xdr:row>36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5AD02C-A399-E87E-9825-A83C2AF9E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7620</xdr:rowOff>
    </xdr:from>
    <xdr:to>
      <xdr:col>6</xdr:col>
      <xdr:colOff>662940</xdr:colOff>
      <xdr:row>34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9F12DE-9577-4A12-36F2-7482ED8DA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5041C-F245-4966-82E1-642C61AE9389}" name="Tabla1" displayName="Tabla1" ref="A1:N43" totalsRowShown="0" headerRowDxfId="2" headerRowBorderDxfId="1" tableBorderDxfId="0">
  <autoFilter ref="A1:N43" xr:uid="{38E5041C-F245-4966-82E1-642C61AE9389}"/>
  <tableColumns count="14">
    <tableColumn id="1" xr3:uid="{CD681CD3-B8DF-41F4-B1C1-97FF537BD801}" name="ID_Venta"/>
    <tableColumn id="2" xr3:uid="{C93B0018-5E20-48BA-82D3-B1BCF9AAA83E}" name="Fecha"/>
    <tableColumn id="3" xr3:uid="{3DCD7AF7-1476-4142-8766-C1F76B108132}" name="Producto"/>
    <tableColumn id="4" xr3:uid="{C860820C-0280-45A9-BD77-299E45EBA132}" name="Categoría"/>
    <tableColumn id="5" xr3:uid="{DBFE0886-E244-473C-8A50-40215C7D388D}" name="Unidades"/>
    <tableColumn id="6" xr3:uid="{94F60386-9B1C-489F-9376-56B69932FF3D}" name="Precio_Unitario"/>
    <tableColumn id="7" xr3:uid="{7E88048F-A511-494C-89ED-8A2EFBE4CC0D}" name="Ciudad"/>
    <tableColumn id="8" xr3:uid="{A142C736-5DBF-40D1-9089-6B85EA08F210}" name="Canal"/>
    <tableColumn id="9" xr3:uid="{BD47F81B-D362-477C-B900-B552C4115537}" name="Valoración"/>
    <tableColumn id="10" xr3:uid="{02C8EB7B-74E7-4B1D-87EC-E75A25B059C4}" name="Ingresos"/>
    <tableColumn id="11" xr3:uid="{391663B3-8D3D-45D1-A71E-985B37C2BB32}" name="Coste"/>
    <tableColumn id="12" xr3:uid="{512DA83F-FFFA-4901-8EF0-39E7FBFCA18F}" name="Beneficio"/>
    <tableColumn id="13" xr3:uid="{539E6CA5-D6EC-4035-A1CB-7076C5C001BB}" name="Vendedor"/>
    <tableColumn id="14" xr3:uid="{2D4C3BD6-D8C0-4A4C-AC02-7C39FBC49E81}" name="Devolu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3" activePane="bottomLeft" state="frozen"/>
      <selection pane="bottomLeft" activeCell="Q37" sqref="Q37"/>
    </sheetView>
  </sheetViews>
  <sheetFormatPr baseColWidth="10" defaultColWidth="8.77734375" defaultRowHeight="14.4" x14ac:dyDescent="0.3"/>
  <cols>
    <col min="1" max="1" width="10.6640625" customWidth="1"/>
    <col min="3" max="3" width="10.6640625" customWidth="1"/>
    <col min="4" max="4" width="10.88671875" customWidth="1"/>
    <col min="5" max="5" width="10.77734375" customWidth="1"/>
    <col min="6" max="6" width="15.88671875" customWidth="1"/>
    <col min="9" max="9" width="11.88671875" customWidth="1"/>
    <col min="10" max="10" width="9.88671875" customWidth="1"/>
    <col min="12" max="12" width="10.6640625" customWidth="1"/>
    <col min="13" max="13" width="11.21875" customWidth="1"/>
    <col min="14" max="14" width="12.33203125" customWidth="1"/>
  </cols>
  <sheetData>
    <row r="1" spans="1:1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opLeftCell="A4" zoomScaleNormal="100" workbookViewId="0">
      <selection activeCell="D34" sqref="D34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120</v>
      </c>
    </row>
    <row r="4" spans="1:5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5" x14ac:dyDescent="0.3">
      <c r="A5" t="s">
        <v>56</v>
      </c>
      <c r="B5">
        <v>25.5</v>
      </c>
      <c r="D5" s="3" t="s">
        <v>123</v>
      </c>
      <c r="E5" s="4">
        <f>AVERAGE(B5:B46)</f>
        <v>60.011904761904759</v>
      </c>
    </row>
    <row r="6" spans="1:5" x14ac:dyDescent="0.3">
      <c r="A6" t="s">
        <v>57</v>
      </c>
      <c r="B6">
        <v>18</v>
      </c>
      <c r="D6" s="3" t="s">
        <v>124</v>
      </c>
      <c r="E6" s="4">
        <f>MEDIAN(B5:B46)</f>
        <v>35</v>
      </c>
    </row>
    <row r="7" spans="1:5" x14ac:dyDescent="0.3">
      <c r="A7" t="s">
        <v>58</v>
      </c>
      <c r="B7">
        <v>85</v>
      </c>
      <c r="D7" s="3" t="s">
        <v>125</v>
      </c>
      <c r="E7" s="4">
        <f>_xlfn.MODE.SNGL(B5:B46)</f>
        <v>18</v>
      </c>
    </row>
    <row r="8" spans="1:5" x14ac:dyDescent="0.3">
      <c r="A8" t="s">
        <v>59</v>
      </c>
      <c r="B8">
        <v>110</v>
      </c>
      <c r="D8" s="3" t="s">
        <v>126</v>
      </c>
      <c r="E8" s="4">
        <f>_xlfn.STDEV.S(B5:B46)</f>
        <v>63.23692269082472</v>
      </c>
    </row>
    <row r="9" spans="1:5" x14ac:dyDescent="0.3">
      <c r="A9" t="s">
        <v>60</v>
      </c>
      <c r="B9">
        <v>35</v>
      </c>
    </row>
    <row r="10" spans="1:5" x14ac:dyDescent="0.3">
      <c r="A10" t="s">
        <v>61</v>
      </c>
      <c r="B10">
        <v>250</v>
      </c>
    </row>
    <row r="11" spans="1:5" x14ac:dyDescent="0.3">
      <c r="A11" t="s">
        <v>62</v>
      </c>
      <c r="B11">
        <v>45</v>
      </c>
      <c r="D11" s="5" t="s">
        <v>127</v>
      </c>
    </row>
    <row r="12" spans="1:5" x14ac:dyDescent="0.3">
      <c r="A12" t="s">
        <v>63</v>
      </c>
      <c r="B12">
        <v>15</v>
      </c>
    </row>
    <row r="13" spans="1:5" x14ac:dyDescent="0.3">
      <c r="A13" t="s">
        <v>64</v>
      </c>
      <c r="B13">
        <v>90</v>
      </c>
    </row>
    <row r="14" spans="1:5" x14ac:dyDescent="0.3">
      <c r="A14" t="s">
        <v>65</v>
      </c>
      <c r="B14">
        <v>65</v>
      </c>
    </row>
    <row r="15" spans="1:5" x14ac:dyDescent="0.3">
      <c r="A15" t="s">
        <v>66</v>
      </c>
      <c r="B15">
        <v>28</v>
      </c>
    </row>
    <row r="16" spans="1:5" x14ac:dyDescent="0.3">
      <c r="A16" t="s">
        <v>67</v>
      </c>
      <c r="B16">
        <v>55</v>
      </c>
    </row>
    <row r="17" spans="1:4" x14ac:dyDescent="0.3">
      <c r="A17" t="s">
        <v>68</v>
      </c>
      <c r="B17">
        <v>20</v>
      </c>
    </row>
    <row r="18" spans="1:4" x14ac:dyDescent="0.3">
      <c r="A18" t="s">
        <v>69</v>
      </c>
      <c r="B18">
        <v>42</v>
      </c>
    </row>
    <row r="19" spans="1:4" x14ac:dyDescent="0.3">
      <c r="A19" t="s">
        <v>70</v>
      </c>
      <c r="B19">
        <v>8</v>
      </c>
    </row>
    <row r="20" spans="1:4" x14ac:dyDescent="0.3">
      <c r="A20" t="s">
        <v>71</v>
      </c>
      <c r="B20">
        <v>12</v>
      </c>
    </row>
    <row r="21" spans="1:4" x14ac:dyDescent="0.3">
      <c r="A21" t="s">
        <v>72</v>
      </c>
      <c r="B21">
        <v>18</v>
      </c>
    </row>
    <row r="22" spans="1:4" x14ac:dyDescent="0.3">
      <c r="A22" t="s">
        <v>73</v>
      </c>
      <c r="B22">
        <v>95</v>
      </c>
    </row>
    <row r="23" spans="1:4" x14ac:dyDescent="0.3">
      <c r="A23" t="s">
        <v>74</v>
      </c>
      <c r="B23">
        <v>45</v>
      </c>
    </row>
    <row r="24" spans="1:4" x14ac:dyDescent="0.3">
      <c r="A24" t="s">
        <v>75</v>
      </c>
      <c r="B24">
        <v>60</v>
      </c>
    </row>
    <row r="25" spans="1:4" x14ac:dyDescent="0.3">
      <c r="A25" t="s">
        <v>76</v>
      </c>
      <c r="B25">
        <v>10</v>
      </c>
    </row>
    <row r="26" spans="1:4" x14ac:dyDescent="0.3">
      <c r="A26" t="s">
        <v>77</v>
      </c>
      <c r="B26">
        <v>35</v>
      </c>
    </row>
    <row r="27" spans="1:4" x14ac:dyDescent="0.3">
      <c r="A27" t="s">
        <v>78</v>
      </c>
      <c r="B27">
        <v>15</v>
      </c>
    </row>
    <row r="28" spans="1:4" x14ac:dyDescent="0.3">
      <c r="A28" t="s">
        <v>79</v>
      </c>
      <c r="B28">
        <v>18</v>
      </c>
    </row>
    <row r="29" spans="1:4" x14ac:dyDescent="0.3">
      <c r="A29" t="s">
        <v>80</v>
      </c>
      <c r="B29">
        <v>120</v>
      </c>
    </row>
    <row r="30" spans="1:4" x14ac:dyDescent="0.3">
      <c r="A30" t="s">
        <v>81</v>
      </c>
      <c r="B30">
        <v>6</v>
      </c>
    </row>
    <row r="31" spans="1:4" x14ac:dyDescent="0.3">
      <c r="A31" t="s">
        <v>82</v>
      </c>
      <c r="B31">
        <v>12</v>
      </c>
      <c r="D31" t="s">
        <v>150</v>
      </c>
    </row>
    <row r="32" spans="1:4" x14ac:dyDescent="0.3">
      <c r="A32" t="s">
        <v>83</v>
      </c>
      <c r="B32">
        <v>30</v>
      </c>
      <c r="D32" t="s">
        <v>151</v>
      </c>
    </row>
    <row r="33" spans="1:4" x14ac:dyDescent="0.3">
      <c r="A33" t="s">
        <v>84</v>
      </c>
      <c r="B33">
        <v>25</v>
      </c>
      <c r="D33" t="s">
        <v>152</v>
      </c>
    </row>
    <row r="34" spans="1:4" x14ac:dyDescent="0.3">
      <c r="A34" t="s">
        <v>85</v>
      </c>
      <c r="B34">
        <v>22</v>
      </c>
    </row>
    <row r="35" spans="1:4" x14ac:dyDescent="0.3">
      <c r="A35" t="s">
        <v>86</v>
      </c>
      <c r="B35">
        <v>8</v>
      </c>
    </row>
    <row r="36" spans="1:4" x14ac:dyDescent="0.3">
      <c r="A36" t="s">
        <v>87</v>
      </c>
      <c r="B36">
        <v>28</v>
      </c>
    </row>
    <row r="37" spans="1:4" x14ac:dyDescent="0.3">
      <c r="A37" t="s">
        <v>88</v>
      </c>
      <c r="B37">
        <v>20</v>
      </c>
    </row>
    <row r="38" spans="1:4" x14ac:dyDescent="0.3">
      <c r="A38" t="s">
        <v>89</v>
      </c>
      <c r="B38">
        <v>150</v>
      </c>
    </row>
    <row r="39" spans="1:4" x14ac:dyDescent="0.3">
      <c r="A39" t="s">
        <v>90</v>
      </c>
      <c r="B39">
        <v>300</v>
      </c>
    </row>
    <row r="40" spans="1:4" x14ac:dyDescent="0.3">
      <c r="A40" t="s">
        <v>91</v>
      </c>
      <c r="B40">
        <v>85</v>
      </c>
    </row>
    <row r="41" spans="1:4" x14ac:dyDescent="0.3">
      <c r="A41" t="s">
        <v>92</v>
      </c>
      <c r="B41">
        <v>50</v>
      </c>
    </row>
    <row r="42" spans="1:4" x14ac:dyDescent="0.3">
      <c r="A42" t="s">
        <v>93</v>
      </c>
      <c r="B42">
        <v>40</v>
      </c>
    </row>
    <row r="43" spans="1:4" x14ac:dyDescent="0.3">
      <c r="A43" t="s">
        <v>94</v>
      </c>
      <c r="B43">
        <v>35</v>
      </c>
    </row>
    <row r="44" spans="1:4" x14ac:dyDescent="0.3">
      <c r="A44" t="s">
        <v>95</v>
      </c>
      <c r="B44">
        <v>130</v>
      </c>
    </row>
    <row r="45" spans="1:4" x14ac:dyDescent="0.3">
      <c r="A45" t="s">
        <v>95</v>
      </c>
      <c r="B45">
        <v>130</v>
      </c>
    </row>
    <row r="46" spans="1:4" x14ac:dyDescent="0.3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selection activeCell="K30" sqref="K30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25.10937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>
        <f>AVERAGE(C5:C46)</f>
        <v>32.511904761904759</v>
      </c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>
        <f>_xlfn.STDEV.S(C5:C46)</f>
        <v>20.550499399082351</v>
      </c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>
        <f>MIN(C5:C46)</f>
        <v>10</v>
      </c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>
        <f>MAX(C5:C46)</f>
        <v>120</v>
      </c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3" x14ac:dyDescent="0.3">
      <c r="A33" t="s">
        <v>84</v>
      </c>
      <c r="B33">
        <v>22</v>
      </c>
      <c r="C33">
        <v>28</v>
      </c>
    </row>
    <row r="34" spans="1:3" x14ac:dyDescent="0.3">
      <c r="A34" t="s">
        <v>85</v>
      </c>
      <c r="B34">
        <v>10</v>
      </c>
      <c r="C34">
        <v>12</v>
      </c>
    </row>
    <row r="35" spans="1:3" x14ac:dyDescent="0.3">
      <c r="A35" t="s">
        <v>86</v>
      </c>
      <c r="B35">
        <v>6</v>
      </c>
      <c r="C35">
        <v>10</v>
      </c>
    </row>
    <row r="36" spans="1:3" x14ac:dyDescent="0.3">
      <c r="A36" t="s">
        <v>87</v>
      </c>
      <c r="B36">
        <v>12</v>
      </c>
      <c r="C36">
        <v>16</v>
      </c>
    </row>
    <row r="37" spans="1:3" x14ac:dyDescent="0.3">
      <c r="A37" t="s">
        <v>88</v>
      </c>
      <c r="B37">
        <v>9</v>
      </c>
      <c r="C37">
        <v>11</v>
      </c>
    </row>
    <row r="38" spans="1:3" x14ac:dyDescent="0.3">
      <c r="A38" t="s">
        <v>89</v>
      </c>
      <c r="B38">
        <v>90</v>
      </c>
      <c r="C38">
        <v>60</v>
      </c>
    </row>
    <row r="39" spans="1:3" x14ac:dyDescent="0.3">
      <c r="A39" t="s">
        <v>90</v>
      </c>
      <c r="B39">
        <v>180</v>
      </c>
      <c r="C39">
        <v>120</v>
      </c>
    </row>
    <row r="40" spans="1:3" x14ac:dyDescent="0.3">
      <c r="A40" t="s">
        <v>91</v>
      </c>
      <c r="B40">
        <v>45</v>
      </c>
      <c r="C40">
        <v>40</v>
      </c>
    </row>
    <row r="41" spans="1:3" x14ac:dyDescent="0.3">
      <c r="A41" t="s">
        <v>92</v>
      </c>
      <c r="B41">
        <v>25</v>
      </c>
      <c r="C41">
        <v>25</v>
      </c>
    </row>
    <row r="42" spans="1:3" x14ac:dyDescent="0.3">
      <c r="A42" t="s">
        <v>93</v>
      </c>
      <c r="B42">
        <v>18</v>
      </c>
      <c r="C42">
        <v>22</v>
      </c>
    </row>
    <row r="43" spans="1:3" x14ac:dyDescent="0.3">
      <c r="A43" t="s">
        <v>94</v>
      </c>
      <c r="B43">
        <v>30</v>
      </c>
      <c r="C43">
        <v>40</v>
      </c>
    </row>
    <row r="44" spans="1:3" x14ac:dyDescent="0.3">
      <c r="A44" t="s">
        <v>95</v>
      </c>
      <c r="B44">
        <v>80</v>
      </c>
      <c r="C44">
        <v>50</v>
      </c>
    </row>
    <row r="45" spans="1:3" x14ac:dyDescent="0.3">
      <c r="A45" t="s">
        <v>95</v>
      </c>
      <c r="B45">
        <v>80</v>
      </c>
      <c r="C45">
        <v>50</v>
      </c>
    </row>
    <row r="46" spans="1:3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>
      <selection activeCell="K20" sqref="K20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30.2187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>
        <f>AVERAGE(B5:B46)</f>
        <v>4.2857142857142856</v>
      </c>
    </row>
    <row r="6" spans="1:5" x14ac:dyDescent="0.3">
      <c r="A6" t="s">
        <v>57</v>
      </c>
      <c r="B6">
        <v>5</v>
      </c>
      <c r="D6" s="3" t="s">
        <v>124</v>
      </c>
      <c r="E6" s="4">
        <f>MEDIAN(B5:B46)</f>
        <v>4</v>
      </c>
    </row>
    <row r="7" spans="1:5" x14ac:dyDescent="0.3">
      <c r="A7" t="s">
        <v>58</v>
      </c>
      <c r="B7">
        <v>4</v>
      </c>
      <c r="D7" s="3" t="s">
        <v>125</v>
      </c>
      <c r="E7" s="4">
        <f>_xlfn.MODE.SNGL(B5:B46)</f>
        <v>4</v>
      </c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2" t="s">
        <v>134</v>
      </c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>
        <f>COUNTIF($B$5:$B$46,D12)</f>
        <v>0</v>
      </c>
    </row>
    <row r="13" spans="1:5" x14ac:dyDescent="0.3">
      <c r="A13" t="s">
        <v>64</v>
      </c>
      <c r="B13">
        <v>5</v>
      </c>
      <c r="D13" s="3">
        <v>2</v>
      </c>
      <c r="E13" s="4">
        <f t="shared" ref="E13:E16" si="0">COUNTIF($B$5:$B$46,D13)</f>
        <v>1</v>
      </c>
    </row>
    <row r="14" spans="1:5" x14ac:dyDescent="0.3">
      <c r="A14" t="s">
        <v>65</v>
      </c>
      <c r="B14">
        <v>4</v>
      </c>
      <c r="D14" s="3">
        <v>3</v>
      </c>
      <c r="E14" s="4">
        <f t="shared" si="0"/>
        <v>4</v>
      </c>
    </row>
    <row r="15" spans="1:5" x14ac:dyDescent="0.3">
      <c r="A15" t="s">
        <v>66</v>
      </c>
      <c r="B15">
        <v>5</v>
      </c>
      <c r="D15" s="3">
        <v>4</v>
      </c>
      <c r="E15" s="4">
        <f t="shared" si="0"/>
        <v>19</v>
      </c>
    </row>
    <row r="16" spans="1:5" x14ac:dyDescent="0.3">
      <c r="A16" t="s">
        <v>67</v>
      </c>
      <c r="B16">
        <v>2</v>
      </c>
      <c r="D16" s="3">
        <v>5</v>
      </c>
      <c r="E16" s="4">
        <f t="shared" si="0"/>
        <v>18</v>
      </c>
    </row>
    <row r="17" spans="1:4" x14ac:dyDescent="0.3">
      <c r="A17" t="s">
        <v>68</v>
      </c>
      <c r="B17">
        <v>4</v>
      </c>
    </row>
    <row r="18" spans="1:4" x14ac:dyDescent="0.3">
      <c r="A18" t="s">
        <v>69</v>
      </c>
      <c r="B18">
        <v>4</v>
      </c>
    </row>
    <row r="19" spans="1:4" x14ac:dyDescent="0.3">
      <c r="A19" t="s">
        <v>70</v>
      </c>
      <c r="B19">
        <v>5</v>
      </c>
      <c r="D19" s="5" t="s">
        <v>137</v>
      </c>
    </row>
    <row r="20" spans="1:4" x14ac:dyDescent="0.3">
      <c r="A20" t="s">
        <v>71</v>
      </c>
      <c r="B20">
        <v>5</v>
      </c>
    </row>
    <row r="21" spans="1:4" x14ac:dyDescent="0.3">
      <c r="A21" t="s">
        <v>72</v>
      </c>
      <c r="B21">
        <v>4</v>
      </c>
    </row>
    <row r="22" spans="1:4" x14ac:dyDescent="0.3">
      <c r="A22" t="s">
        <v>73</v>
      </c>
      <c r="B22">
        <v>4</v>
      </c>
    </row>
    <row r="23" spans="1:4" x14ac:dyDescent="0.3">
      <c r="A23" t="s">
        <v>74</v>
      </c>
      <c r="B23">
        <v>5</v>
      </c>
    </row>
    <row r="24" spans="1:4" x14ac:dyDescent="0.3">
      <c r="A24" t="s">
        <v>75</v>
      </c>
      <c r="B24">
        <v>3</v>
      </c>
    </row>
    <row r="25" spans="1:4" x14ac:dyDescent="0.3">
      <c r="A25" t="s">
        <v>76</v>
      </c>
      <c r="B25">
        <v>5</v>
      </c>
    </row>
    <row r="26" spans="1:4" x14ac:dyDescent="0.3">
      <c r="A26" t="s">
        <v>77</v>
      </c>
      <c r="B26">
        <v>4</v>
      </c>
    </row>
    <row r="27" spans="1:4" x14ac:dyDescent="0.3">
      <c r="A27" t="s">
        <v>78</v>
      </c>
      <c r="B27">
        <v>4</v>
      </c>
    </row>
    <row r="28" spans="1:4" x14ac:dyDescent="0.3">
      <c r="A28" t="s">
        <v>79</v>
      </c>
      <c r="B28">
        <v>3</v>
      </c>
    </row>
    <row r="29" spans="1:4" x14ac:dyDescent="0.3">
      <c r="A29" t="s">
        <v>80</v>
      </c>
      <c r="B29">
        <v>5</v>
      </c>
    </row>
    <row r="30" spans="1:4" x14ac:dyDescent="0.3">
      <c r="A30" t="s">
        <v>81</v>
      </c>
      <c r="B30">
        <v>4</v>
      </c>
    </row>
    <row r="31" spans="1:4" x14ac:dyDescent="0.3">
      <c r="A31" t="s">
        <v>82</v>
      </c>
      <c r="B31">
        <v>5</v>
      </c>
    </row>
    <row r="32" spans="1:4" x14ac:dyDescent="0.3">
      <c r="A32" t="s">
        <v>83</v>
      </c>
      <c r="B32">
        <v>4</v>
      </c>
    </row>
    <row r="33" spans="1:2" x14ac:dyDescent="0.3">
      <c r="A33" t="s">
        <v>84</v>
      </c>
      <c r="B33">
        <v>5</v>
      </c>
    </row>
    <row r="34" spans="1:2" x14ac:dyDescent="0.3">
      <c r="A34" t="s">
        <v>85</v>
      </c>
      <c r="B34">
        <v>4</v>
      </c>
    </row>
    <row r="35" spans="1:2" x14ac:dyDescent="0.3">
      <c r="A35" t="s">
        <v>86</v>
      </c>
      <c r="B35">
        <v>3</v>
      </c>
    </row>
    <row r="36" spans="1:2" x14ac:dyDescent="0.3">
      <c r="A36" t="s">
        <v>87</v>
      </c>
      <c r="B36">
        <v>4</v>
      </c>
    </row>
    <row r="37" spans="1:2" x14ac:dyDescent="0.3">
      <c r="A37" t="s">
        <v>88</v>
      </c>
      <c r="B37">
        <v>5</v>
      </c>
    </row>
    <row r="38" spans="1:2" x14ac:dyDescent="0.3">
      <c r="A38" t="s">
        <v>89</v>
      </c>
      <c r="B38">
        <v>4</v>
      </c>
    </row>
    <row r="39" spans="1:2" x14ac:dyDescent="0.3">
      <c r="A39" t="s">
        <v>90</v>
      </c>
      <c r="B39">
        <v>5</v>
      </c>
    </row>
    <row r="40" spans="1:2" x14ac:dyDescent="0.3">
      <c r="A40" t="s">
        <v>91</v>
      </c>
      <c r="B40">
        <v>4</v>
      </c>
    </row>
    <row r="41" spans="1:2" x14ac:dyDescent="0.3">
      <c r="A41" t="s">
        <v>92</v>
      </c>
      <c r="B41">
        <v>4</v>
      </c>
    </row>
    <row r="42" spans="1:2" x14ac:dyDescent="0.3">
      <c r="A42" t="s">
        <v>93</v>
      </c>
      <c r="B42">
        <v>5</v>
      </c>
    </row>
    <row r="43" spans="1:2" x14ac:dyDescent="0.3">
      <c r="A43" t="s">
        <v>94</v>
      </c>
      <c r="B43">
        <v>4</v>
      </c>
    </row>
    <row r="44" spans="1:2" x14ac:dyDescent="0.3">
      <c r="A44" t="s">
        <v>95</v>
      </c>
      <c r="B44">
        <v>5</v>
      </c>
    </row>
    <row r="45" spans="1:2" x14ac:dyDescent="0.3">
      <c r="A45" t="s">
        <v>95</v>
      </c>
      <c r="B45">
        <v>5</v>
      </c>
    </row>
    <row r="46" spans="1:2" x14ac:dyDescent="0.3">
      <c r="A46" t="s">
        <v>95</v>
      </c>
      <c r="B46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tabSelected="1" topLeftCell="A3" workbookViewId="0">
      <selection activeCell="J28" sqref="J28"/>
    </sheetView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7" ht="18" x14ac:dyDescent="0.35">
      <c r="A1" s="1" t="s">
        <v>149</v>
      </c>
    </row>
    <row r="3" spans="1:7" x14ac:dyDescent="0.3">
      <c r="D3" s="3" t="s">
        <v>148</v>
      </c>
      <c r="E3" s="4">
        <f>COUNTA(A5:A46)</f>
        <v>42</v>
      </c>
    </row>
    <row r="4" spans="1:7" x14ac:dyDescent="0.3">
      <c r="A4" s="2" t="s">
        <v>2</v>
      </c>
      <c r="B4" s="2" t="s">
        <v>7</v>
      </c>
    </row>
    <row r="5" spans="1:7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3">
      <c r="A6" t="s">
        <v>57</v>
      </c>
      <c r="B6" t="s">
        <v>111</v>
      </c>
      <c r="D6" s="3" t="s">
        <v>110</v>
      </c>
      <c r="E6" s="4">
        <f>COUNTIF($B$5:$B$46,D6)</f>
        <v>11</v>
      </c>
      <c r="F6" s="7">
        <f>E6/$E$9</f>
        <v>0.26190476190476192</v>
      </c>
      <c r="G6" s="6">
        <f>F6</f>
        <v>0.26190476190476192</v>
      </c>
    </row>
    <row r="7" spans="1:7" x14ac:dyDescent="0.3">
      <c r="A7" t="s">
        <v>58</v>
      </c>
      <c r="B7" t="s">
        <v>112</v>
      </c>
      <c r="D7" s="3" t="s">
        <v>111</v>
      </c>
      <c r="E7" s="4">
        <f t="shared" ref="E7:E8" si="0">COUNTIF($B$5:$B$46,D7)</f>
        <v>17</v>
      </c>
      <c r="F7" s="7">
        <f t="shared" ref="F7:F8" si="1">E7/$E$9</f>
        <v>0.40476190476190477</v>
      </c>
      <c r="G7" s="6">
        <f t="shared" ref="G7:G8" si="2">F7</f>
        <v>0.40476190476190477</v>
      </c>
    </row>
    <row r="8" spans="1:7" x14ac:dyDescent="0.3">
      <c r="A8" t="s">
        <v>59</v>
      </c>
      <c r="B8" t="s">
        <v>111</v>
      </c>
      <c r="D8" s="3" t="s">
        <v>112</v>
      </c>
      <c r="E8" s="4">
        <f t="shared" si="0"/>
        <v>14</v>
      </c>
      <c r="F8" s="7">
        <f t="shared" si="1"/>
        <v>0.33333333333333331</v>
      </c>
      <c r="G8" s="6">
        <f t="shared" si="2"/>
        <v>0.33333333333333331</v>
      </c>
    </row>
    <row r="9" spans="1:7" x14ac:dyDescent="0.3">
      <c r="A9" t="s">
        <v>60</v>
      </c>
      <c r="B9" t="s">
        <v>112</v>
      </c>
      <c r="D9" s="2" t="s">
        <v>143</v>
      </c>
      <c r="E9" s="4">
        <f>SUM(E6:E8)</f>
        <v>42</v>
      </c>
      <c r="F9" s="7">
        <f>SUM(F6:F8)</f>
        <v>1</v>
      </c>
      <c r="G9" s="6">
        <f>F9</f>
        <v>1</v>
      </c>
    </row>
    <row r="10" spans="1:7" x14ac:dyDescent="0.3">
      <c r="A10" t="s">
        <v>61</v>
      </c>
      <c r="B10" t="s">
        <v>111</v>
      </c>
    </row>
    <row r="11" spans="1:7" x14ac:dyDescent="0.3">
      <c r="A11" t="s">
        <v>62</v>
      </c>
      <c r="B11" t="s">
        <v>110</v>
      </c>
      <c r="D11" s="5" t="s">
        <v>142</v>
      </c>
    </row>
    <row r="12" spans="1:7" x14ac:dyDescent="0.3">
      <c r="A12" t="s">
        <v>63</v>
      </c>
      <c r="B12" t="s">
        <v>112</v>
      </c>
      <c r="D12" s="5" t="s">
        <v>141</v>
      </c>
    </row>
    <row r="13" spans="1:7" x14ac:dyDescent="0.3">
      <c r="A13" t="s">
        <v>64</v>
      </c>
      <c r="B13" t="s">
        <v>111</v>
      </c>
      <c r="D13" s="5" t="s">
        <v>140</v>
      </c>
    </row>
    <row r="14" spans="1:7" x14ac:dyDescent="0.3">
      <c r="A14" t="s">
        <v>65</v>
      </c>
      <c r="B14" t="s">
        <v>112</v>
      </c>
    </row>
    <row r="15" spans="1:7" x14ac:dyDescent="0.3">
      <c r="A15" t="s">
        <v>66</v>
      </c>
      <c r="B15" t="s">
        <v>110</v>
      </c>
      <c r="D15" s="5" t="s">
        <v>139</v>
      </c>
    </row>
    <row r="16" spans="1:7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2" x14ac:dyDescent="0.3">
      <c r="A33" t="s">
        <v>84</v>
      </c>
      <c r="B33" t="s">
        <v>110</v>
      </c>
    </row>
    <row r="34" spans="1:2" x14ac:dyDescent="0.3">
      <c r="A34" t="s">
        <v>85</v>
      </c>
      <c r="B34" t="s">
        <v>112</v>
      </c>
    </row>
    <row r="35" spans="1:2" x14ac:dyDescent="0.3">
      <c r="A35" t="s">
        <v>86</v>
      </c>
      <c r="B35" t="s">
        <v>111</v>
      </c>
    </row>
    <row r="36" spans="1:2" x14ac:dyDescent="0.3">
      <c r="A36" t="s">
        <v>87</v>
      </c>
      <c r="B36" t="s">
        <v>110</v>
      </c>
    </row>
    <row r="37" spans="1:2" x14ac:dyDescent="0.3">
      <c r="A37" t="s">
        <v>88</v>
      </c>
      <c r="B37" t="s">
        <v>112</v>
      </c>
    </row>
    <row r="38" spans="1:2" x14ac:dyDescent="0.3">
      <c r="A38" t="s">
        <v>89</v>
      </c>
      <c r="B38" t="s">
        <v>111</v>
      </c>
    </row>
    <row r="39" spans="1:2" x14ac:dyDescent="0.3">
      <c r="A39" t="s">
        <v>90</v>
      </c>
      <c r="B39" t="s">
        <v>112</v>
      </c>
    </row>
    <row r="40" spans="1:2" x14ac:dyDescent="0.3">
      <c r="A40" t="s">
        <v>91</v>
      </c>
      <c r="B40" t="s">
        <v>110</v>
      </c>
    </row>
    <row r="41" spans="1:2" x14ac:dyDescent="0.3">
      <c r="A41" t="s">
        <v>92</v>
      </c>
      <c r="B41" t="s">
        <v>111</v>
      </c>
    </row>
    <row r="42" spans="1:2" x14ac:dyDescent="0.3">
      <c r="A42" t="s">
        <v>93</v>
      </c>
      <c r="B42" t="s">
        <v>112</v>
      </c>
    </row>
    <row r="43" spans="1:2" x14ac:dyDescent="0.3">
      <c r="A43" t="s">
        <v>94</v>
      </c>
      <c r="B43" t="s">
        <v>110</v>
      </c>
    </row>
    <row r="44" spans="1:2" x14ac:dyDescent="0.3">
      <c r="A44" t="s">
        <v>95</v>
      </c>
      <c r="B44" t="s">
        <v>111</v>
      </c>
    </row>
    <row r="45" spans="1:2" x14ac:dyDescent="0.3">
      <c r="A45" t="s">
        <v>95</v>
      </c>
      <c r="B45" t="s">
        <v>111</v>
      </c>
    </row>
    <row r="46" spans="1:2" x14ac:dyDescent="0.3">
      <c r="A46" t="s">
        <v>95</v>
      </c>
      <c r="B46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nieto moreno</cp:lastModifiedBy>
  <dcterms:created xsi:type="dcterms:W3CDTF">2026-03-08T23:16:31Z</dcterms:created>
  <dcterms:modified xsi:type="dcterms:W3CDTF">2026-03-09T11:51:59Z</dcterms:modified>
</cp:coreProperties>
</file>